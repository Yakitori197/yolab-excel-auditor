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程 Schedule" sheetId="1" r:id="rId1"/>
    <sheet name="參數 Params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工單 WorkOrder</v>
      </c>
      <c r="B1" t="str">
        <v>產品 Product</v>
      </c>
      <c r="C1" t="str">
        <v>數量 Qty</v>
      </c>
      <c r="D1" t="str">
        <v>每件工時 HoursPerUnit</v>
      </c>
      <c r="E1" t="str">
        <v>總工時 TotalHours</v>
      </c>
      <c r="F1" t="str">
        <v>開始日 StartDate</v>
      </c>
      <c r="G1" t="str">
        <v>狀態 Status</v>
      </c>
    </row>
    <row r="2">
      <c r="A2" t="str">
        <v>WO-2026-001</v>
      </c>
      <c r="B2" t="str">
        <v>產品 A</v>
      </c>
      <c r="C2">
        <v>100</v>
      </c>
      <c r="D2">
        <v>0.5</v>
      </c>
      <c r="E2">
        <f>C2*D2</f>
        <v>50</v>
      </c>
      <c r="F2" s="1">
        <v>46055</v>
      </c>
      <c r="G2" t="str">
        <v>已完成 Done</v>
      </c>
    </row>
    <row r="3">
      <c r="A3" t="str">
        <v>WO-2026-002</v>
      </c>
      <c r="B3" t="str">
        <v>產品 B</v>
      </c>
      <c r="C3">
        <v>200</v>
      </c>
      <c r="D3">
        <v>0.25</v>
      </c>
      <c r="E3">
        <f>C3*D3</f>
        <v>50</v>
      </c>
      <c r="F3" s="1">
        <v>46056</v>
      </c>
      <c r="G3" t="str">
        <v>已完成 Done</v>
      </c>
    </row>
    <row r="4">
      <c r="A4" t="str">
        <v>WO-2026-003</v>
      </c>
      <c r="B4" t="str">
        <v>產品 C</v>
      </c>
      <c r="C4">
        <v>150</v>
      </c>
      <c r="D4">
        <v>0.4</v>
      </c>
      <c r="E4">
        <f>C4*D4</f>
        <v>60</v>
      </c>
      <c r="F4" s="1">
        <v>46057</v>
      </c>
      <c r="G4" t="str">
        <v>生產中 WIP</v>
      </c>
    </row>
    <row r="5">
      <c r="A5" t="str">
        <v>WO-2026-004</v>
      </c>
      <c r="B5" t="str">
        <v>產品 D</v>
      </c>
      <c r="C5">
        <v>80</v>
      </c>
      <c r="D5">
        <v>1</v>
      </c>
      <c r="E5">
        <f>C5*D5</f>
        <v>80</v>
      </c>
      <c r="F5" s="1">
        <v>46058</v>
      </c>
      <c r="G5" t="str">
        <v>生產中 WIP</v>
      </c>
    </row>
    <row r="6">
      <c r="A6" t="str">
        <v>WO-2026-005</v>
      </c>
      <c r="B6" t="str">
        <v>產品 E</v>
      </c>
      <c r="C6">
        <v>300</v>
      </c>
      <c r="D6">
        <v>0.2</v>
      </c>
      <c r="E6">
        <f>C6*D6</f>
        <v>60</v>
      </c>
      <c r="F6" s="1">
        <v>46059</v>
      </c>
      <c r="G6" t="str">
        <v>待生產 Queued</v>
      </c>
    </row>
    <row r="7">
      <c r="A7" t="str">
        <v>WO-2026-006</v>
      </c>
      <c r="B7" t="str">
        <v>產品 F</v>
      </c>
      <c r="C7">
        <v>120</v>
      </c>
      <c r="D7">
        <v>0.75</v>
      </c>
      <c r="E7">
        <f>C7*D7</f>
        <v>90</v>
      </c>
      <c r="F7" s="1">
        <v>46062</v>
      </c>
      <c r="G7" t="str">
        <v>待生產 Queued</v>
      </c>
    </row>
    <row r="8">
      <c r="A8" t="str">
        <v>WO-2026-007</v>
      </c>
      <c r="B8" t="str">
        <v>產品 G</v>
      </c>
      <c r="C8">
        <v>60</v>
      </c>
      <c r="D8">
        <v>1.5</v>
      </c>
      <c r="E8">
        <f>C8*D8</f>
        <v>90</v>
      </c>
      <c r="F8" s="1">
        <v>46063</v>
      </c>
      <c r="G8" t="str">
        <v>待生產 Queued</v>
      </c>
    </row>
    <row r="9">
      <c r="A9" t="str">
        <v>WO-2026-008</v>
      </c>
      <c r="B9" t="str">
        <v>產品 H</v>
      </c>
      <c r="C9">
        <v>220</v>
      </c>
      <c r="D9">
        <v>0.3</v>
      </c>
      <c r="E9">
        <f>C9*D9</f>
        <v>66</v>
      </c>
      <c r="F9" s="1">
        <v>46064</v>
      </c>
      <c r="G9" t="str">
        <v>待生產 Queued</v>
      </c>
    </row>
    <row r="10">
      <c r="A10" t="str">
        <v>小計 Subtotal</v>
      </c>
      <c r="B10" t="str">
        <v/>
      </c>
      <c r="C10">
        <f>SUM(C2:C9)</f>
        <v>1230</v>
      </c>
      <c r="D10" t="str">
        <v/>
      </c>
      <c r="E10">
        <f>SUM(E2:E9)</f>
        <v>546</v>
      </c>
      <c r="F10" t="str">
        <v/>
      </c>
      <c r="G10" t="str">
        <v/>
      </c>
    </row>
    <row r="11">
      <c r="A11" t="str">
        <v>異常示範 Error demo</v>
      </c>
      <c r="B11" t="e">
        <f>E10/0</f>
        <v>#DIV/0!</v>
      </c>
      <c r="C11" t="str">
        <v/>
      </c>
      <c r="D11" t="str">
        <v/>
      </c>
      <c r="E11" t="str">
        <v/>
      </c>
      <c r="F11" t="str">
        <v/>
      </c>
      <c r="G11" t="str">
        <v/>
      </c>
    </row>
  </sheetData>
  <mergeCells count="1">
    <mergeCell ref="A10:B10"/>
  </mergeCells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參數 Param</v>
      </c>
      <c r="B1" t="str">
        <v>值 Value</v>
      </c>
    </row>
    <row r="2">
      <c r="A2" t="str">
        <v>標準工時率 StdRate</v>
      </c>
      <c r="B2">
        <v>1</v>
      </c>
    </row>
    <row r="3">
      <c r="A3" t="str">
        <v>加班係數 OT factor</v>
      </c>
      <c r="B3">
        <v>1.5</v>
      </c>
    </row>
    <row r="4">
      <c r="A4" t="str">
        <v>稼動率目標 Target</v>
      </c>
      <c r="B4">
        <v>0.85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排程 Schedule</vt:lpstr>
      <vt:lpstr>參數 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